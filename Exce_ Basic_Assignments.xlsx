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Shamshad\"/>
    </mc:Choice>
  </mc:AlternateContent>
  <xr:revisionPtr revIDLastSave="0" documentId="13_ncr:1_{BA570B6B-38AD-4B29-9E73-C62ACF08AE8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tudent Repo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4" l="1"/>
  <c r="B10" i="4"/>
  <c r="E7" i="4"/>
  <c r="E8" i="4"/>
  <c r="E9" i="4"/>
  <c r="E6" i="4"/>
  <c r="D7" i="4"/>
  <c r="D8" i="4"/>
  <c r="D9" i="4"/>
  <c r="D6" i="4"/>
  <c r="N6" i="2"/>
  <c r="N5" i="2"/>
  <c r="C10" i="3"/>
  <c r="C9" i="3"/>
  <c r="C7" i="3"/>
  <c r="C8" i="3"/>
  <c r="C6" i="3"/>
  <c r="E10" i="4" l="1"/>
  <c r="D10" i="4"/>
</calcChain>
</file>

<file path=xl/sharedStrings.xml><?xml version="1.0" encoding="utf-8"?>
<sst xmlns="http://schemas.openxmlformats.org/spreadsheetml/2006/main" count="177" uniqueCount="148">
  <si>
    <t>S.No.</t>
  </si>
  <si>
    <t>Names</t>
  </si>
  <si>
    <t>Yamini</t>
  </si>
  <si>
    <t>Sunitha</t>
  </si>
  <si>
    <t>Lalitha</t>
  </si>
  <si>
    <t>Rajini</t>
  </si>
  <si>
    <t>Devika</t>
  </si>
  <si>
    <t>1. **Font Options:**</t>
  </si>
  <si>
    <t xml:space="preserve"> * Apply **different fonts**, **sizes**, **bold**, **italics**, and **underline** to each name.</t>
  </si>
  <si>
    <t>* Change the **font color** of each.</t>
  </si>
  <si>
    <t>2. **Borders:**</t>
  </si>
  <si>
    <t>* In cells **B1\:D3**, fill in any random numbers.</t>
  </si>
  <si>
    <t xml:space="preserve"> * Apply **all borders**, then change to **thick outside borders**.</t>
  </si>
  <si>
    <t>B_Value</t>
  </si>
  <si>
    <t>C_Value</t>
  </si>
  <si>
    <t>D_Value</t>
  </si>
  <si>
    <t>Borders Applied</t>
  </si>
  <si>
    <t>All Borders + Thick Outside</t>
  </si>
  <si>
    <t>Font</t>
  </si>
  <si>
    <t>Size</t>
  </si>
  <si>
    <t>Bold</t>
  </si>
  <si>
    <t>Italic</t>
  </si>
  <si>
    <t>Underline</t>
  </si>
  <si>
    <t>Font Color</t>
  </si>
  <si>
    <t>Arial</t>
  </si>
  <si>
    <t>Yes</t>
  </si>
  <si>
    <t>No</t>
  </si>
  <si>
    <t>Red</t>
  </si>
  <si>
    <t>Calibri</t>
  </si>
  <si>
    <t>Blue</t>
  </si>
  <si>
    <t>Times New Roman</t>
  </si>
  <si>
    <t>Green</t>
  </si>
  <si>
    <t>Verdana</t>
  </si>
  <si>
    <t>Purple</t>
  </si>
  <si>
    <t>Comic Sans MS</t>
  </si>
  <si>
    <t>Orange</t>
  </si>
  <si>
    <t>Cell</t>
  </si>
  <si>
    <t>Subject Name</t>
  </si>
  <si>
    <t>Fil Color</t>
  </si>
  <si>
    <t>Maths</t>
  </si>
  <si>
    <t>Science</t>
  </si>
  <si>
    <t>Social</t>
  </si>
  <si>
    <t>English</t>
  </si>
  <si>
    <t>E1</t>
  </si>
  <si>
    <t>E2</t>
  </si>
  <si>
    <t>E3</t>
  </si>
  <si>
    <t>E4</t>
  </si>
  <si>
    <t>E5</t>
  </si>
  <si>
    <t>Telugu</t>
  </si>
  <si>
    <t>Light Blue</t>
  </si>
  <si>
    <t>Yellow</t>
  </si>
  <si>
    <t>Light Green</t>
  </si>
  <si>
    <t>3. **Shading (Fill Color):**</t>
  </si>
  <si>
    <t xml:space="preserve"> * In cells **E1\:E5**, enter any text (like subject names).</t>
  </si>
  <si>
    <t xml:space="preserve"> * Apply **different fill colors** to each cell</t>
  </si>
  <si>
    <t>Lavender</t>
  </si>
  <si>
    <t>F1</t>
  </si>
  <si>
    <t>F2</t>
  </si>
  <si>
    <t>F3</t>
  </si>
  <si>
    <t>Text</t>
  </si>
  <si>
    <t>Orientation</t>
  </si>
  <si>
    <t>Sales</t>
  </si>
  <si>
    <t>Region</t>
  </si>
  <si>
    <t>Year</t>
  </si>
  <si>
    <t>Rotate Text 45°</t>
  </si>
  <si>
    <t>Vertical Text</t>
  </si>
  <si>
    <t>Rotate Text 90°</t>
  </si>
  <si>
    <t>### 🔸 **Section B: Elements &amp; Orientation**</t>
  </si>
  <si>
    <t>4. **Cell Orientation:**</t>
  </si>
  <si>
    <t xml:space="preserve"> * In **F1\:F3**, type 3 different headings (e.g., "Sales", "Region", "Year").</t>
  </si>
  <si>
    <t>6. **Cell Types:**</t>
  </si>
  <si>
    <t>G1</t>
  </si>
  <si>
    <t>G2</t>
  </si>
  <si>
    <t>G3</t>
  </si>
  <si>
    <t>G4</t>
  </si>
  <si>
    <t>Data Type</t>
  </si>
  <si>
    <t>Example Value</t>
  </si>
  <si>
    <t>Description</t>
  </si>
  <si>
    <t>Number</t>
  </si>
  <si>
    <t>Date</t>
  </si>
  <si>
    <t>Boolean</t>
  </si>
  <si>
    <t>Simple text or string</t>
  </si>
  <si>
    <t>Numeric value</t>
  </si>
  <si>
    <t>Date format (recognized by Excel)</t>
  </si>
  <si>
    <t>Formula returning TRUE or FALSE (TRUE)</t>
  </si>
  <si>
    <t>### 🔸 **Section C: Cell Types &amp; Cell References**</t>
  </si>
  <si>
    <t>* In G1\:G4, use the following data types:</t>
  </si>
  <si>
    <t>"Hello"</t>
  </si>
  <si>
    <t xml:space="preserve"> =5&gt;2</t>
  </si>
  <si>
    <t>7. **Cell References:**</t>
  </si>
  <si>
    <t>Value/Formula</t>
  </si>
  <si>
    <t>Type of Reference</t>
  </si>
  <si>
    <t>Explanation</t>
  </si>
  <si>
    <t>M1</t>
  </si>
  <si>
    <t>M2</t>
  </si>
  <si>
    <t>M3</t>
  </si>
  <si>
    <t>M4</t>
  </si>
  <si>
    <t>Relative Reference</t>
  </si>
  <si>
    <t>Absolute Reference</t>
  </si>
  <si>
    <t>Static number</t>
  </si>
  <si>
    <t>### 🔸 **Section D: Excel Functions**</t>
  </si>
  <si>
    <t>8. **Functions:**</t>
  </si>
  <si>
    <t>* Use the following functions in column J:</t>
  </si>
  <si>
    <t>Marks</t>
  </si>
  <si>
    <t>* In I1\:I5, enter marks for 5 students.</t>
  </si>
  <si>
    <t>Student</t>
  </si>
  <si>
    <t>AVG</t>
  </si>
  <si>
    <t>SUM</t>
  </si>
  <si>
    <t>MAX</t>
  </si>
  <si>
    <t>MIN</t>
  </si>
  <si>
    <t>Stu1</t>
  </si>
  <si>
    <t>Stu2</t>
  </si>
  <si>
    <t>Stu3</t>
  </si>
  <si>
    <t>Stu4</t>
  </si>
  <si>
    <t>Stu5</t>
  </si>
  <si>
    <t>Func_Result</t>
  </si>
  <si>
    <t>Function</t>
  </si>
  <si>
    <t>Use IF Condition</t>
  </si>
  <si>
    <t>Col</t>
  </si>
  <si>
    <t>(N3+N4) Changes when copied to another cell</t>
  </si>
  <si>
    <r>
      <t>$N$3+$N$4</t>
    </r>
    <r>
      <rPr>
        <sz val="12"/>
        <color theme="1"/>
        <rFont val="Calibri"/>
        <family val="2"/>
        <scheme val="minor"/>
      </rPr>
      <t xml:space="preserve"> is fixed, so it won’t change even if copied to other cells.</t>
    </r>
  </si>
  <si>
    <t>Elements</t>
  </si>
  <si>
    <t>Rows</t>
  </si>
  <si>
    <t>Columns</t>
  </si>
  <si>
    <t>5. **Elements of Excel Sheet:**</t>
  </si>
  <si>
    <t xml:space="preserve"> * Identify and label (in comments or a side column):</t>
  </si>
  <si>
    <t>* **Rows**, **Columns**, **Cell Address**, **Formula Bar**, and **Sheet Tabs**</t>
  </si>
  <si>
    <t>Cell Address</t>
  </si>
  <si>
    <t>Formula Bar</t>
  </si>
  <si>
    <t>Sheet Tabs</t>
  </si>
  <si>
    <t>Located above the worksheet; used to view, enter, or edit formulas/data.</t>
  </si>
  <si>
    <r>
      <t xml:space="preserve">Horizontal lines in the sheet / set of cells,  numbered </t>
    </r>
    <r>
      <rPr>
        <b/>
        <sz val="12"/>
        <color rgb="FF0070C0"/>
        <rFont val="Calibri"/>
        <family val="2"/>
        <scheme val="minor"/>
      </rPr>
      <t>1, 2, 3, …</t>
    </r>
    <r>
      <rPr>
        <sz val="12"/>
        <color rgb="FF0070C0"/>
        <rFont val="Calibri"/>
        <family val="2"/>
        <scheme val="minor"/>
      </rPr>
      <t xml:space="preserve"> on the left side/left margin.</t>
    </r>
  </si>
  <si>
    <r>
      <t xml:space="preserve">Vertical lines in the sheet / set of cells, labeled </t>
    </r>
    <r>
      <rPr>
        <b/>
        <sz val="12"/>
        <color rgb="FF0070C0"/>
        <rFont val="Calibri"/>
        <family val="2"/>
        <scheme val="minor"/>
      </rPr>
      <t>A, B, C, …, Z, AA…</t>
    </r>
    <r>
      <rPr>
        <sz val="12"/>
        <color rgb="FF0070C0"/>
        <rFont val="Calibri"/>
        <family val="2"/>
        <scheme val="minor"/>
      </rPr>
      <t xml:space="preserve"> at the top.</t>
    </r>
  </si>
  <si>
    <r>
      <t xml:space="preserve">The unique reference of a cell, shown as </t>
    </r>
    <r>
      <rPr>
        <b/>
        <sz val="12"/>
        <color rgb="FF0070C0"/>
        <rFont val="Calibri"/>
        <family val="2"/>
        <scheme val="minor"/>
      </rPr>
      <t>Column Letter + Row Number</t>
    </r>
    <r>
      <rPr>
        <sz val="12"/>
        <color rgb="FF0070C0"/>
        <rFont val="Calibri"/>
        <family val="2"/>
        <scheme val="minor"/>
      </rPr>
      <t xml:space="preserve"> (e.g., </t>
    </r>
    <r>
      <rPr>
        <b/>
        <sz val="12"/>
        <color rgb="FF0070C0"/>
        <rFont val="Calibri"/>
        <family val="2"/>
        <scheme val="minor"/>
      </rPr>
      <t>B3</t>
    </r>
    <r>
      <rPr>
        <sz val="12"/>
        <color rgb="FF0070C0"/>
        <rFont val="Calibri"/>
        <family val="2"/>
        <scheme val="minor"/>
      </rPr>
      <t>).</t>
    </r>
  </si>
  <si>
    <r>
      <t xml:space="preserve">Tabs at the bottom of the workbook used to navigate between different sheets (e.g., </t>
    </r>
    <r>
      <rPr>
        <b/>
        <sz val="12"/>
        <color rgb="FF0070C0"/>
        <rFont val="Calibri"/>
        <family val="2"/>
        <scheme val="minor"/>
      </rPr>
      <t>Sheet1, Sheet2</t>
    </r>
    <r>
      <rPr>
        <sz val="12"/>
        <color rgb="FF0070C0"/>
        <rFont val="Calibri"/>
        <family val="2"/>
        <scheme val="minor"/>
      </rPr>
      <t>).</t>
    </r>
  </si>
  <si>
    <t>### 🔸 **Bonus Task (Optional): Create a mini-report**</t>
  </si>
  <si>
    <t>* Format a small **table** with borders, headers (bold), and fill colors.</t>
  </si>
  <si>
    <t>* Include at least **2 formulas** and **1 cell reference type**.</t>
  </si>
  <si>
    <t>* Add a **sheet name** (e.g., "Student Report") and save the file.</t>
  </si>
  <si>
    <t>Name</t>
  </si>
  <si>
    <t>Average_Marks</t>
  </si>
  <si>
    <t>Total_Marks</t>
  </si>
  <si>
    <t>Sindhu</t>
  </si>
  <si>
    <t>Gayathri</t>
  </si>
  <si>
    <t>Class_Avg</t>
  </si>
  <si>
    <t>Relative_Ref</t>
  </si>
  <si>
    <t>Ref_Type</t>
  </si>
  <si>
    <t>Absolute_Ref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</si>
</sst>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u/>
      <sz val="10"/>
      <color rgb="FFFF0000"/>
      <name val="Arial"/>
      <family val="2"/>
    </font>
    <font>
      <u/>
      <sz val="10"/>
      <color rgb="FFFF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i/>
      <sz val="12"/>
      <color rgb="FF00B050"/>
      <name val="Times New Roman"/>
      <family val="1"/>
    </font>
    <font>
      <b/>
      <i/>
      <sz val="12"/>
      <color rgb="FF00B050"/>
      <name val="Times New Roman"/>
      <family val="1"/>
    </font>
    <font>
      <b/>
      <i/>
      <u/>
      <sz val="14"/>
      <color rgb="FF7030A0"/>
      <name val="Verdana"/>
      <family val="2"/>
    </font>
    <font>
      <b/>
      <sz val="14"/>
      <color rgb="FF7030A0"/>
      <name val="Verdana"/>
      <family val="2"/>
    </font>
    <font>
      <i/>
      <u val="double"/>
      <sz val="16"/>
      <color theme="5"/>
      <name val="Comic Sans MS"/>
      <family val="4"/>
    </font>
    <font>
      <i/>
      <sz val="16"/>
      <color theme="5"/>
      <name val="Comic Sans MS"/>
      <family val="4"/>
    </font>
    <font>
      <sz val="16"/>
      <color theme="5" tint="-0.249977111117893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5"/>
      <name val="Calibri"/>
      <family val="2"/>
      <scheme val="minor"/>
    </font>
    <font>
      <sz val="16"/>
      <color theme="9"/>
      <name val="Calibri"/>
      <family val="2"/>
      <scheme val="minor"/>
    </font>
    <font>
      <sz val="10"/>
      <color rgb="FF00B0F0"/>
      <name val="Calibri"/>
      <family val="2"/>
      <scheme val="minor"/>
    </font>
    <font>
      <i/>
      <sz val="14"/>
      <color rgb="FF0070C0"/>
      <name val="Calibri"/>
      <family val="2"/>
      <scheme val="minor"/>
    </font>
    <font>
      <sz val="16"/>
      <color theme="5"/>
      <name val="Calibri"/>
      <family val="2"/>
      <scheme val="minor"/>
    </font>
    <font>
      <sz val="14"/>
      <color theme="9"/>
      <name val="Calibri"/>
      <family val="2"/>
      <scheme val="minor"/>
    </font>
    <font>
      <sz val="14"/>
      <color rgb="FFFF66FF"/>
      <name val="Calibri"/>
      <family val="2"/>
      <scheme val="minor"/>
    </font>
    <font>
      <sz val="12"/>
      <color theme="1"/>
      <name val="Arial Unicode MS"/>
    </font>
    <font>
      <i/>
      <u/>
      <sz val="16"/>
      <color theme="5"/>
      <name val="Comic Sans MS"/>
      <family val="4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sz val="12"/>
      <color rgb="FFFF66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3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/>
    <xf numFmtId="0" fontId="0" fillId="0" borderId="3" xfId="0" applyBorder="1" applyAlignment="1">
      <alignment horizontal="center"/>
    </xf>
    <xf numFmtId="0" fontId="0" fillId="0" borderId="8" xfId="0" applyBorder="1"/>
    <xf numFmtId="0" fontId="1" fillId="0" borderId="7" xfId="0" applyFont="1" applyBorder="1"/>
    <xf numFmtId="0" fontId="6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1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/>
    <xf numFmtId="0" fontId="12" fillId="0" borderId="1" xfId="0" applyFont="1" applyBorder="1"/>
    <xf numFmtId="0" fontId="12" fillId="0" borderId="0" xfId="0" applyFont="1"/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 wrapText="1"/>
    </xf>
    <xf numFmtId="0" fontId="14" fillId="0" borderId="1" xfId="0" applyFont="1" applyBorder="1"/>
    <xf numFmtId="0" fontId="14" fillId="0" borderId="0" xfId="0" applyFont="1" applyAlignment="1">
      <alignment horizontal="center"/>
    </xf>
    <xf numFmtId="0" fontId="14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 wrapText="1"/>
    </xf>
    <xf numFmtId="0" fontId="15" fillId="0" borderId="0" xfId="0" applyFont="1"/>
    <xf numFmtId="0" fontId="17" fillId="0" borderId="1" xfId="0" applyFont="1" applyBorder="1"/>
    <xf numFmtId="0" fontId="18" fillId="0" borderId="0" xfId="0" applyFont="1" applyAlignment="1">
      <alignment horizontal="center"/>
    </xf>
    <xf numFmtId="0" fontId="18" fillId="0" borderId="0" xfId="0" applyFont="1" applyAlignment="1">
      <alignment vertical="center" wrapText="1"/>
    </xf>
    <xf numFmtId="0" fontId="17" fillId="0" borderId="0" xfId="0" applyFont="1"/>
    <xf numFmtId="0" fontId="16" fillId="0" borderId="1" xfId="0" applyFont="1" applyBorder="1"/>
    <xf numFmtId="0" fontId="19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4" borderId="0" xfId="0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25" fillId="0" borderId="0" xfId="0" applyFont="1"/>
    <xf numFmtId="0" fontId="2" fillId="0" borderId="0" xfId="0" applyFont="1" applyAlignment="1">
      <alignment horizontal="center" vertical="center" textRotation="180"/>
    </xf>
    <xf numFmtId="0" fontId="2" fillId="0" borderId="0" xfId="0" applyFont="1" applyAlignment="1">
      <alignment horizontal="center" vertical="center" textRotation="135"/>
    </xf>
    <xf numFmtId="0" fontId="2" fillId="0" borderId="0" xfId="0" applyFont="1" applyAlignment="1">
      <alignment horizontal="center" vertical="center" textRotation="255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180"/>
    </xf>
    <xf numFmtId="0" fontId="26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3" fillId="3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0" fillId="6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0" fontId="5" fillId="7" borderId="0" xfId="0" applyNumberFormat="1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5" fillId="7" borderId="0" xfId="0" applyFont="1" applyFill="1" applyAlignment="1">
      <alignment horizontal="center"/>
    </xf>
    <xf numFmtId="0" fontId="1" fillId="10" borderId="0" xfId="0" applyFont="1" applyFill="1" applyAlignment="1"/>
    <xf numFmtId="0" fontId="5" fillId="11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/>
    <xf numFmtId="0" fontId="37" fillId="0" borderId="0" xfId="0" applyFont="1"/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12" borderId="0" xfId="0" applyFont="1" applyFill="1" applyAlignment="1">
      <alignment horizontal="left"/>
    </xf>
    <xf numFmtId="0" fontId="42" fillId="7" borderId="0" xfId="0" applyFont="1" applyFill="1" applyAlignment="1">
      <alignment horizontal="center"/>
    </xf>
    <xf numFmtId="0" fontId="41" fillId="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43" fillId="2" borderId="0" xfId="0" applyFont="1" applyFill="1"/>
    <xf numFmtId="0" fontId="43" fillId="2" borderId="0" xfId="0" applyFont="1" applyFill="1" applyAlignment="1">
      <alignment horizontal="left"/>
    </xf>
    <xf numFmtId="0" fontId="34" fillId="2" borderId="0" xfId="0" applyFont="1" applyFill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topLeftCell="L1" workbookViewId="0">
      <selection activeCell="B9" sqref="B9"/>
    </sheetView>
  </sheetViews>
  <sheetFormatPr defaultRowHeight="14.4"/>
  <cols>
    <col min="1" max="1" width="14.33203125" customWidth="1"/>
    <col min="2" max="2" width="17.109375" customWidth="1"/>
    <col min="3" max="3" width="21.109375" customWidth="1"/>
    <col min="4" max="4" width="9.44140625" customWidth="1"/>
    <col min="5" max="5" width="12.33203125" customWidth="1"/>
    <col min="7" max="7" width="13.77734375" customWidth="1"/>
    <col min="8" max="8" width="19.33203125" customWidth="1"/>
    <col min="10" max="10" width="13.109375" customWidth="1"/>
    <col min="11" max="11" width="15.5546875" customWidth="1"/>
    <col min="12" max="12" width="27.5546875" customWidth="1"/>
    <col min="13" max="13" width="25" customWidth="1"/>
    <col min="18" max="18" width="13.44140625" customWidth="1"/>
    <col min="19" max="19" width="16.44140625" customWidth="1"/>
    <col min="20" max="20" width="28.6640625" customWidth="1"/>
  </cols>
  <sheetData>
    <row r="1" spans="1:20" ht="28.8" customHeight="1">
      <c r="A1" s="89" t="s">
        <v>7</v>
      </c>
      <c r="B1" s="89"/>
      <c r="C1" s="89"/>
      <c r="D1" s="89"/>
      <c r="E1" s="89"/>
      <c r="F1" s="89"/>
      <c r="G1" s="89"/>
      <c r="H1" s="89"/>
      <c r="K1" s="88" t="s">
        <v>52</v>
      </c>
      <c r="L1" s="88"/>
      <c r="M1" s="88"/>
      <c r="R1" s="91" t="s">
        <v>67</v>
      </c>
      <c r="S1" s="91"/>
      <c r="T1" s="91"/>
    </row>
    <row r="2" spans="1:20" ht="31.95" customHeight="1">
      <c r="A2" s="85" t="s">
        <v>8</v>
      </c>
      <c r="B2" s="85"/>
      <c r="C2" s="85"/>
      <c r="D2" s="85"/>
      <c r="E2" s="85"/>
      <c r="F2" s="85"/>
      <c r="G2" s="85"/>
      <c r="H2" s="85"/>
      <c r="K2" s="90" t="s">
        <v>53</v>
      </c>
      <c r="L2" s="90"/>
      <c r="M2" s="90"/>
      <c r="R2" s="92" t="s">
        <v>68</v>
      </c>
      <c r="S2" s="92"/>
      <c r="T2" s="92"/>
    </row>
    <row r="3" spans="1:20" ht="31.95" customHeight="1">
      <c r="A3" s="86" t="s">
        <v>9</v>
      </c>
      <c r="B3" s="86"/>
      <c r="C3" s="86"/>
      <c r="D3" s="86"/>
      <c r="E3" s="86"/>
      <c r="F3" s="86"/>
      <c r="G3" s="86"/>
      <c r="H3" s="86"/>
      <c r="K3" s="85" t="s">
        <v>54</v>
      </c>
      <c r="L3" s="85"/>
      <c r="M3" s="85"/>
      <c r="R3" s="64" t="s">
        <v>69</v>
      </c>
      <c r="S3" s="64"/>
      <c r="T3" s="64"/>
    </row>
    <row r="4" spans="1:20" s="25" customFormat="1" ht="30" customHeight="1">
      <c r="A4" s="24" t="s">
        <v>0</v>
      </c>
      <c r="B4" s="24" t="s">
        <v>1</v>
      </c>
      <c r="C4" s="26" t="s">
        <v>18</v>
      </c>
      <c r="D4" s="26" t="s">
        <v>19</v>
      </c>
      <c r="E4" s="26" t="s">
        <v>20</v>
      </c>
      <c r="F4" s="26" t="s">
        <v>21</v>
      </c>
      <c r="G4" s="26" t="s">
        <v>22</v>
      </c>
      <c r="H4" s="26" t="s">
        <v>23</v>
      </c>
      <c r="J4" s="49"/>
      <c r="K4" s="51" t="s">
        <v>36</v>
      </c>
      <c r="L4" s="51" t="s">
        <v>37</v>
      </c>
      <c r="M4" s="51" t="s">
        <v>38</v>
      </c>
      <c r="R4" s="68" t="s">
        <v>36</v>
      </c>
      <c r="S4" s="68" t="s">
        <v>59</v>
      </c>
      <c r="T4" s="68" t="s">
        <v>60</v>
      </c>
    </row>
    <row r="5" spans="1:20" s="29" customFormat="1" ht="49.95" customHeight="1">
      <c r="A5" s="27">
        <v>1</v>
      </c>
      <c r="B5" s="35" t="s">
        <v>2</v>
      </c>
      <c r="C5" s="33" t="s">
        <v>24</v>
      </c>
      <c r="D5" s="33">
        <v>10</v>
      </c>
      <c r="E5" s="33" t="s">
        <v>25</v>
      </c>
      <c r="F5" s="33" t="s">
        <v>26</v>
      </c>
      <c r="G5" s="33" t="s">
        <v>25</v>
      </c>
      <c r="H5" s="33" t="s">
        <v>27</v>
      </c>
      <c r="I5" s="28"/>
      <c r="J5" s="28"/>
      <c r="K5" s="52" t="s">
        <v>43</v>
      </c>
      <c r="L5" s="52" t="s">
        <v>48</v>
      </c>
      <c r="M5" s="53" t="s">
        <v>49</v>
      </c>
      <c r="N5" s="28"/>
      <c r="O5" s="28"/>
      <c r="R5" s="69" t="s">
        <v>56</v>
      </c>
      <c r="S5" s="66" t="s">
        <v>61</v>
      </c>
      <c r="T5" s="70" t="s">
        <v>64</v>
      </c>
    </row>
    <row r="6" spans="1:20" s="31" customFormat="1" ht="100.05" customHeight="1">
      <c r="A6" s="30">
        <v>2</v>
      </c>
      <c r="B6" s="34" t="s">
        <v>3</v>
      </c>
      <c r="C6" s="34" t="s">
        <v>28</v>
      </c>
      <c r="D6" s="34">
        <v>11</v>
      </c>
      <c r="E6" s="34" t="s">
        <v>26</v>
      </c>
      <c r="F6" s="34" t="s">
        <v>25</v>
      </c>
      <c r="G6" s="34" t="s">
        <v>26</v>
      </c>
      <c r="H6" s="34" t="s">
        <v>29</v>
      </c>
      <c r="I6" s="32"/>
      <c r="J6" s="50"/>
      <c r="K6" s="54" t="s">
        <v>44</v>
      </c>
      <c r="L6" s="54" t="s">
        <v>42</v>
      </c>
      <c r="M6" s="55" t="s">
        <v>50</v>
      </c>
      <c r="N6" s="32"/>
      <c r="O6" s="32"/>
      <c r="R6" s="69" t="s">
        <v>57</v>
      </c>
      <c r="S6" s="67" t="s">
        <v>62</v>
      </c>
      <c r="T6" s="70" t="s">
        <v>65</v>
      </c>
    </row>
    <row r="7" spans="1:20" s="40" customFormat="1" ht="49.95" customHeight="1">
      <c r="A7" s="38">
        <v>3</v>
      </c>
      <c r="B7" s="39" t="s">
        <v>4</v>
      </c>
      <c r="C7" s="36" t="s">
        <v>30</v>
      </c>
      <c r="D7" s="36">
        <v>12</v>
      </c>
      <c r="E7" s="36" t="s">
        <v>26</v>
      </c>
      <c r="F7" s="36" t="s">
        <v>25</v>
      </c>
      <c r="G7" s="36" t="s">
        <v>25</v>
      </c>
      <c r="H7" s="36" t="s">
        <v>31</v>
      </c>
      <c r="I7" s="37"/>
      <c r="J7" s="37"/>
      <c r="K7" s="56" t="s">
        <v>45</v>
      </c>
      <c r="L7" s="56" t="s">
        <v>39</v>
      </c>
      <c r="M7" s="57" t="s">
        <v>51</v>
      </c>
      <c r="N7" s="37"/>
      <c r="O7" s="37"/>
      <c r="R7" s="71" t="s">
        <v>58</v>
      </c>
      <c r="S7" s="65" t="s">
        <v>63</v>
      </c>
      <c r="T7" s="70" t="s">
        <v>66</v>
      </c>
    </row>
    <row r="8" spans="1:20" s="43" customFormat="1" ht="17.399999999999999">
      <c r="A8" s="48">
        <v>4</v>
      </c>
      <c r="B8" s="41" t="s">
        <v>5</v>
      </c>
      <c r="C8" s="41" t="s">
        <v>32</v>
      </c>
      <c r="D8" s="41">
        <v>14</v>
      </c>
      <c r="E8" s="41" t="s">
        <v>25</v>
      </c>
      <c r="F8" s="41" t="s">
        <v>26</v>
      </c>
      <c r="G8" s="41" t="s">
        <v>26</v>
      </c>
      <c r="H8" s="41" t="s">
        <v>33</v>
      </c>
      <c r="I8" s="42"/>
      <c r="J8" s="42"/>
      <c r="K8" s="58" t="s">
        <v>46</v>
      </c>
      <c r="L8" s="58" t="s">
        <v>40</v>
      </c>
      <c r="M8" s="59" t="s">
        <v>35</v>
      </c>
      <c r="N8" s="42"/>
      <c r="O8" s="42"/>
    </row>
    <row r="9" spans="1:20" s="47" customFormat="1" ht="25.2">
      <c r="A9" s="44">
        <v>5</v>
      </c>
      <c r="B9" s="75" t="s">
        <v>6</v>
      </c>
      <c r="C9" s="45" t="s">
        <v>34</v>
      </c>
      <c r="D9" s="45">
        <v>16</v>
      </c>
      <c r="E9" s="45" t="s">
        <v>26</v>
      </c>
      <c r="F9" s="45" t="s">
        <v>25</v>
      </c>
      <c r="G9" s="45" t="s">
        <v>25</v>
      </c>
      <c r="H9" s="45" t="s">
        <v>35</v>
      </c>
      <c r="I9" s="46"/>
      <c r="J9" s="46"/>
      <c r="K9" s="60" t="s">
        <v>47</v>
      </c>
      <c r="L9" s="60" t="s">
        <v>41</v>
      </c>
      <c r="M9" s="61" t="s">
        <v>55</v>
      </c>
      <c r="N9" s="46"/>
      <c r="O9" s="62"/>
    </row>
    <row r="19" spans="1:5" ht="21">
      <c r="A19" s="88"/>
      <c r="B19" s="88"/>
      <c r="C19" s="88"/>
      <c r="D19" s="88"/>
      <c r="E19" s="88"/>
    </row>
    <row r="20" spans="1:5" ht="18">
      <c r="A20" s="87"/>
      <c r="B20" s="87"/>
      <c r="C20" s="87"/>
      <c r="D20" s="87"/>
      <c r="E20" s="87"/>
    </row>
    <row r="21" spans="1:5" ht="18">
      <c r="A21" s="6"/>
      <c r="B21" s="6"/>
    </row>
    <row r="22" spans="1:5" s="5" customFormat="1" ht="15.6">
      <c r="A22" s="7"/>
      <c r="B22" s="7"/>
      <c r="C22" s="8"/>
      <c r="D22" s="8"/>
      <c r="E22" s="9"/>
    </row>
    <row r="23" spans="1:5">
      <c r="A23" s="1"/>
      <c r="B23" s="2"/>
    </row>
    <row r="24" spans="1:5">
      <c r="A24" s="1"/>
      <c r="B24" s="3"/>
    </row>
    <row r="25" spans="1:5">
      <c r="A25" s="1"/>
      <c r="B25" s="3"/>
    </row>
    <row r="26" spans="1:5">
      <c r="A26" s="1"/>
      <c r="B26" s="3"/>
    </row>
    <row r="27" spans="1:5">
      <c r="A27" s="1"/>
      <c r="B27" s="3"/>
    </row>
  </sheetData>
  <mergeCells count="10">
    <mergeCell ref="K1:M1"/>
    <mergeCell ref="K2:M2"/>
    <mergeCell ref="K3:M3"/>
    <mergeCell ref="R1:T1"/>
    <mergeCell ref="R2:T2"/>
    <mergeCell ref="A2:H2"/>
    <mergeCell ref="A3:H3"/>
    <mergeCell ref="A20:E20"/>
    <mergeCell ref="A19:E19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4CD9-47B2-4264-8080-0D337456D824}">
  <dimension ref="A1:P10"/>
  <sheetViews>
    <sheetView topLeftCell="L1" workbookViewId="0">
      <selection activeCell="O18" sqref="O18"/>
    </sheetView>
  </sheetViews>
  <sheetFormatPr defaultRowHeight="14.4"/>
  <cols>
    <col min="5" max="5" width="36.21875" customWidth="1"/>
    <col min="8" max="8" width="14.6640625" customWidth="1"/>
    <col min="9" max="9" width="19.6640625" customWidth="1"/>
    <col min="10" max="10" width="42.5546875" customWidth="1"/>
    <col min="13" max="13" width="11.6640625" customWidth="1"/>
    <col min="14" max="14" width="18.5546875" customWidth="1"/>
    <col min="15" max="15" width="25.109375" customWidth="1"/>
    <col min="16" max="16" width="69.5546875" customWidth="1"/>
  </cols>
  <sheetData>
    <row r="1" spans="1:16" ht="21">
      <c r="A1" s="95" t="s">
        <v>10</v>
      </c>
      <c r="B1" s="96"/>
      <c r="C1" s="96"/>
      <c r="D1" s="96"/>
      <c r="E1" s="97"/>
      <c r="G1" s="101" t="s">
        <v>85</v>
      </c>
      <c r="H1" s="101"/>
      <c r="I1" s="101"/>
      <c r="J1" s="101"/>
      <c r="M1" s="94" t="s">
        <v>89</v>
      </c>
      <c r="N1" s="94"/>
      <c r="O1" s="94"/>
      <c r="P1" s="94"/>
    </row>
    <row r="2" spans="1:16" ht="18">
      <c r="A2" s="98" t="s">
        <v>11</v>
      </c>
      <c r="B2" s="99"/>
      <c r="C2" s="99"/>
      <c r="D2" s="99"/>
      <c r="E2" s="100"/>
      <c r="G2" s="102" t="s">
        <v>70</v>
      </c>
      <c r="H2" s="102"/>
      <c r="I2" s="102"/>
      <c r="J2" s="102"/>
      <c r="M2" s="82" t="s">
        <v>118</v>
      </c>
      <c r="N2" s="80" t="s">
        <v>90</v>
      </c>
      <c r="O2" s="80" t="s">
        <v>91</v>
      </c>
      <c r="P2" s="80" t="s">
        <v>92</v>
      </c>
    </row>
    <row r="3" spans="1:16" ht="18">
      <c r="A3" s="16" t="s">
        <v>12</v>
      </c>
      <c r="B3" s="11"/>
      <c r="C3" s="10"/>
      <c r="D3" s="10"/>
      <c r="E3" s="15"/>
      <c r="G3" s="93" t="s">
        <v>86</v>
      </c>
      <c r="H3" s="93"/>
      <c r="I3" s="93"/>
      <c r="J3" s="93"/>
      <c r="M3" s="63" t="s">
        <v>93</v>
      </c>
      <c r="N3" s="63">
        <v>10</v>
      </c>
      <c r="O3" s="76"/>
      <c r="P3" s="63" t="s">
        <v>99</v>
      </c>
    </row>
    <row r="4" spans="1:16" s="4" customFormat="1" ht="18">
      <c r="A4" s="17" t="s">
        <v>0</v>
      </c>
      <c r="B4" s="12" t="s">
        <v>13</v>
      </c>
      <c r="C4" s="13" t="s">
        <v>14</v>
      </c>
      <c r="D4" s="13" t="s">
        <v>15</v>
      </c>
      <c r="E4" s="22" t="s">
        <v>16</v>
      </c>
      <c r="G4" s="72" t="s">
        <v>36</v>
      </c>
      <c r="H4" s="72" t="s">
        <v>75</v>
      </c>
      <c r="I4" s="72" t="s">
        <v>76</v>
      </c>
      <c r="J4" s="51" t="s">
        <v>77</v>
      </c>
      <c r="M4" s="63" t="s">
        <v>94</v>
      </c>
      <c r="N4" s="63">
        <v>20</v>
      </c>
      <c r="O4" s="63"/>
      <c r="P4" s="63" t="s">
        <v>99</v>
      </c>
    </row>
    <row r="5" spans="1:16" ht="15.6">
      <c r="A5" s="18">
        <v>1</v>
      </c>
      <c r="B5" s="14">
        <v>12</v>
      </c>
      <c r="C5" s="10">
        <v>23</v>
      </c>
      <c r="D5" s="10">
        <v>34</v>
      </c>
      <c r="E5" s="23" t="s">
        <v>17</v>
      </c>
      <c r="G5" s="70" t="s">
        <v>71</v>
      </c>
      <c r="H5" s="70" t="s">
        <v>59</v>
      </c>
      <c r="I5" s="70" t="s">
        <v>87</v>
      </c>
      <c r="J5" s="70" t="s">
        <v>81</v>
      </c>
      <c r="M5" s="83" t="s">
        <v>95</v>
      </c>
      <c r="N5" s="55">
        <f>N3+N4</f>
        <v>30</v>
      </c>
      <c r="O5" s="55" t="s">
        <v>97</v>
      </c>
      <c r="P5" s="55" t="s">
        <v>119</v>
      </c>
    </row>
    <row r="6" spans="1:16" ht="15.6">
      <c r="A6" s="18">
        <v>2</v>
      </c>
      <c r="B6" s="14">
        <v>45</v>
      </c>
      <c r="C6" s="10">
        <v>78</v>
      </c>
      <c r="D6" s="10">
        <v>56</v>
      </c>
      <c r="E6" s="23" t="s">
        <v>17</v>
      </c>
      <c r="G6" s="70" t="s">
        <v>72</v>
      </c>
      <c r="H6" s="70" t="s">
        <v>78</v>
      </c>
      <c r="I6" s="70">
        <v>123</v>
      </c>
      <c r="J6" s="70" t="s">
        <v>82</v>
      </c>
      <c r="M6" s="61" t="s">
        <v>96</v>
      </c>
      <c r="N6" s="61">
        <f>$N$3+$N$4</f>
        <v>30</v>
      </c>
      <c r="O6" s="61" t="s">
        <v>98</v>
      </c>
      <c r="P6" s="84" t="s">
        <v>120</v>
      </c>
    </row>
    <row r="7" spans="1:16" ht="15.6">
      <c r="A7" s="18">
        <v>3</v>
      </c>
      <c r="B7" s="14">
        <v>67</v>
      </c>
      <c r="C7" s="10">
        <v>89</v>
      </c>
      <c r="D7" s="10">
        <v>90</v>
      </c>
      <c r="E7" s="23" t="s">
        <v>17</v>
      </c>
      <c r="G7" s="70" t="s">
        <v>73</v>
      </c>
      <c r="H7" s="70" t="s">
        <v>79</v>
      </c>
      <c r="I7" s="73">
        <v>45876</v>
      </c>
      <c r="J7" s="70" t="s">
        <v>83</v>
      </c>
      <c r="M7" s="63"/>
      <c r="N7" s="63"/>
      <c r="O7" s="63"/>
      <c r="P7" s="63"/>
    </row>
    <row r="8" spans="1:16" ht="15.6">
      <c r="A8" s="18"/>
      <c r="B8" s="10"/>
      <c r="C8" s="10"/>
      <c r="D8" s="10"/>
      <c r="E8" s="15"/>
      <c r="G8" s="70" t="s">
        <v>74</v>
      </c>
      <c r="H8" s="70" t="s">
        <v>80</v>
      </c>
      <c r="I8" s="70" t="s">
        <v>88</v>
      </c>
      <c r="J8" s="70" t="s">
        <v>84</v>
      </c>
      <c r="M8" s="70"/>
      <c r="N8" s="63"/>
      <c r="O8" s="63"/>
      <c r="P8" s="74"/>
    </row>
    <row r="9" spans="1:16">
      <c r="A9" s="18"/>
      <c r="B9" s="10"/>
      <c r="C9" s="10"/>
      <c r="D9" s="10"/>
      <c r="E9" s="15"/>
    </row>
    <row r="10" spans="1:16" ht="15" thickBot="1">
      <c r="A10" s="19"/>
      <c r="B10" s="20"/>
      <c r="C10" s="20"/>
      <c r="D10" s="20"/>
      <c r="E10" s="21"/>
    </row>
  </sheetData>
  <mergeCells count="6">
    <mergeCell ref="G3:J3"/>
    <mergeCell ref="M1:P1"/>
    <mergeCell ref="A1:E1"/>
    <mergeCell ref="A2:E2"/>
    <mergeCell ref="G1:J1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5485-FFCE-462B-89FD-A4525077A365}">
  <dimension ref="A1:J20"/>
  <sheetViews>
    <sheetView workbookViewId="0">
      <selection activeCell="J9" sqref="J9"/>
    </sheetView>
  </sheetViews>
  <sheetFormatPr defaultRowHeight="14.4"/>
  <cols>
    <col min="1" max="4" width="15.77734375" customWidth="1"/>
    <col min="9" max="9" width="16.5546875" customWidth="1"/>
    <col min="10" max="10" width="100" customWidth="1"/>
  </cols>
  <sheetData>
    <row r="1" spans="1:10" ht="23.4">
      <c r="A1" s="103" t="s">
        <v>100</v>
      </c>
      <c r="B1" s="103"/>
      <c r="C1" s="103"/>
      <c r="D1" s="103"/>
      <c r="I1" s="106" t="s">
        <v>124</v>
      </c>
      <c r="J1" s="106"/>
    </row>
    <row r="2" spans="1:10" ht="18">
      <c r="A2" s="104" t="s">
        <v>101</v>
      </c>
      <c r="B2" s="104"/>
      <c r="C2" s="104"/>
      <c r="D2" s="104"/>
      <c r="I2" s="107" t="s">
        <v>125</v>
      </c>
      <c r="J2" s="107"/>
    </row>
    <row r="3" spans="1:10" ht="18">
      <c r="A3" s="77" t="s">
        <v>104</v>
      </c>
      <c r="B3" s="78"/>
      <c r="C3" s="78"/>
      <c r="D3" s="79"/>
      <c r="I3" s="107" t="s">
        <v>126</v>
      </c>
      <c r="J3" s="107"/>
    </row>
    <row r="4" spans="1:10" ht="21">
      <c r="A4" s="77" t="s">
        <v>102</v>
      </c>
      <c r="B4" s="78"/>
      <c r="C4" s="78"/>
      <c r="D4" s="79"/>
      <c r="I4" s="108" t="s">
        <v>121</v>
      </c>
      <c r="J4" s="109" t="s">
        <v>77</v>
      </c>
    </row>
    <row r="5" spans="1:10" ht="19.95" customHeight="1">
      <c r="A5" s="81" t="s">
        <v>105</v>
      </c>
      <c r="B5" s="80" t="s">
        <v>103</v>
      </c>
      <c r="C5" s="80" t="s">
        <v>115</v>
      </c>
      <c r="D5" s="80" t="s">
        <v>116</v>
      </c>
      <c r="I5" s="111" t="s">
        <v>122</v>
      </c>
      <c r="J5" s="110" t="s">
        <v>131</v>
      </c>
    </row>
    <row r="6" spans="1:10" ht="19.95" customHeight="1">
      <c r="A6" s="112" t="s">
        <v>110</v>
      </c>
      <c r="B6" s="113">
        <v>45</v>
      </c>
      <c r="C6" s="114">
        <f>SUM(B6:B10)</f>
        <v>230</v>
      </c>
      <c r="D6" s="115" t="s">
        <v>107</v>
      </c>
      <c r="I6" s="111" t="s">
        <v>123</v>
      </c>
      <c r="J6" s="110" t="s">
        <v>132</v>
      </c>
    </row>
    <row r="7" spans="1:10" ht="19.95" customHeight="1">
      <c r="A7" s="112" t="s">
        <v>111</v>
      </c>
      <c r="B7" s="113">
        <v>50</v>
      </c>
      <c r="C7" s="114">
        <f>AVERAGE(B6:B10)</f>
        <v>46</v>
      </c>
      <c r="D7" s="115" t="s">
        <v>106</v>
      </c>
      <c r="I7" s="111" t="s">
        <v>127</v>
      </c>
      <c r="J7" s="110" t="s">
        <v>133</v>
      </c>
    </row>
    <row r="8" spans="1:10" ht="19.95" customHeight="1">
      <c r="A8" s="112" t="s">
        <v>112</v>
      </c>
      <c r="B8" s="113">
        <v>60</v>
      </c>
      <c r="C8" s="114">
        <f>MAX(B6:B10)</f>
        <v>60</v>
      </c>
      <c r="D8" s="115" t="s">
        <v>108</v>
      </c>
      <c r="I8" s="111" t="s">
        <v>128</v>
      </c>
      <c r="J8" s="110" t="s">
        <v>130</v>
      </c>
    </row>
    <row r="9" spans="1:10" ht="19.95" customHeight="1">
      <c r="A9" s="112" t="s">
        <v>113</v>
      </c>
      <c r="B9" s="113">
        <v>40</v>
      </c>
      <c r="C9" s="114">
        <f>MIN(B6:B10)</f>
        <v>35</v>
      </c>
      <c r="D9" s="115" t="s">
        <v>109</v>
      </c>
      <c r="I9" s="111" t="s">
        <v>129</v>
      </c>
      <c r="J9" s="110" t="s">
        <v>134</v>
      </c>
    </row>
    <row r="10" spans="1:10" ht="19.95" customHeight="1">
      <c r="A10" s="112" t="s">
        <v>114</v>
      </c>
      <c r="B10" s="113">
        <v>35</v>
      </c>
      <c r="C10" s="114" t="str">
        <f>IF(B6&gt;40,"PASS","FAIL")</f>
        <v>PASS</v>
      </c>
      <c r="D10" s="115" t="s">
        <v>117</v>
      </c>
    </row>
    <row r="20" spans="1:4">
      <c r="A20" s="105"/>
      <c r="B20" s="105"/>
      <c r="C20" s="105"/>
      <c r="D20" s="105"/>
    </row>
  </sheetData>
  <mergeCells count="4">
    <mergeCell ref="A1:D1"/>
    <mergeCell ref="A2:D2"/>
    <mergeCell ref="A20:D20"/>
    <mergeCell ref="I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3D10-98AC-44ED-A555-FC2B549B565A}">
  <dimension ref="A1:F10"/>
  <sheetViews>
    <sheetView tabSelected="1" workbookViewId="0">
      <selection activeCell="E16" sqref="E16"/>
    </sheetView>
  </sheetViews>
  <sheetFormatPr defaultRowHeight="14.4"/>
  <cols>
    <col min="1" max="1" width="18.44140625" customWidth="1"/>
    <col min="2" max="2" width="11.88671875" customWidth="1"/>
    <col min="3" max="3" width="13" customWidth="1"/>
    <col min="4" max="4" width="15.44140625" customWidth="1"/>
    <col min="5" max="5" width="20.6640625" customWidth="1"/>
    <col min="6" max="6" width="19.6640625" customWidth="1"/>
    <col min="7" max="7" width="26" customWidth="1"/>
  </cols>
  <sheetData>
    <row r="1" spans="1:6" ht="21">
      <c r="A1" s="118" t="s">
        <v>135</v>
      </c>
      <c r="B1" s="118"/>
      <c r="C1" s="118"/>
      <c r="D1" s="118"/>
      <c r="E1" s="118"/>
      <c r="F1" s="118"/>
    </row>
    <row r="2" spans="1:6" ht="15.6">
      <c r="A2" s="120" t="s">
        <v>136</v>
      </c>
      <c r="B2" s="120"/>
      <c r="C2" s="120"/>
      <c r="D2" s="120"/>
      <c r="E2" s="120"/>
      <c r="F2" s="121"/>
    </row>
    <row r="3" spans="1:6" ht="15.6">
      <c r="A3" s="122" t="s">
        <v>137</v>
      </c>
      <c r="B3" s="122"/>
      <c r="C3" s="122"/>
      <c r="D3" s="122"/>
      <c r="E3" s="122"/>
      <c r="F3" s="123"/>
    </row>
    <row r="4" spans="1:6" ht="15.6">
      <c r="A4" s="117" t="s">
        <v>138</v>
      </c>
      <c r="B4" s="117"/>
      <c r="C4" s="117"/>
      <c r="D4" s="117"/>
      <c r="E4" s="117"/>
      <c r="F4" s="124"/>
    </row>
    <row r="5" spans="1:6" ht="18">
      <c r="A5" s="119" t="s">
        <v>139</v>
      </c>
      <c r="B5" s="119" t="s">
        <v>39</v>
      </c>
      <c r="C5" s="119" t="s">
        <v>40</v>
      </c>
      <c r="D5" s="119" t="s">
        <v>141</v>
      </c>
      <c r="E5" s="119" t="s">
        <v>140</v>
      </c>
      <c r="F5" s="119" t="s">
        <v>146</v>
      </c>
    </row>
    <row r="6" spans="1:6" ht="15.6">
      <c r="A6" s="110" t="s">
        <v>4</v>
      </c>
      <c r="B6" s="116">
        <v>80</v>
      </c>
      <c r="C6" s="116">
        <v>90</v>
      </c>
      <c r="D6" s="128">
        <f>B6+C6</f>
        <v>170</v>
      </c>
      <c r="E6" s="129">
        <f>(B6+C6)/2</f>
        <v>85</v>
      </c>
      <c r="F6" s="113" t="s">
        <v>145</v>
      </c>
    </row>
    <row r="7" spans="1:6" ht="15.6">
      <c r="A7" s="110" t="s">
        <v>142</v>
      </c>
      <c r="B7" s="116">
        <v>85</v>
      </c>
      <c r="C7" s="116">
        <v>95</v>
      </c>
      <c r="D7" s="128">
        <f t="shared" ref="D7:D9" si="0">B7+C7</f>
        <v>180</v>
      </c>
      <c r="E7" s="129">
        <f t="shared" ref="E7:E9" si="1">(B7+C7)/2</f>
        <v>90</v>
      </c>
      <c r="F7" s="113" t="s">
        <v>145</v>
      </c>
    </row>
    <row r="8" spans="1:6" ht="15.6">
      <c r="A8" s="110" t="s">
        <v>143</v>
      </c>
      <c r="B8" s="116">
        <v>78</v>
      </c>
      <c r="C8" s="116">
        <v>88</v>
      </c>
      <c r="D8" s="128">
        <f t="shared" si="0"/>
        <v>166</v>
      </c>
      <c r="E8" s="129">
        <f t="shared" si="1"/>
        <v>83</v>
      </c>
      <c r="F8" s="113" t="s">
        <v>145</v>
      </c>
    </row>
    <row r="9" spans="1:6" ht="15.6">
      <c r="A9" s="110" t="s">
        <v>3</v>
      </c>
      <c r="B9" s="116">
        <v>92</v>
      </c>
      <c r="C9" s="116">
        <v>85</v>
      </c>
      <c r="D9" s="128">
        <f t="shared" si="0"/>
        <v>177</v>
      </c>
      <c r="E9" s="129">
        <f t="shared" si="1"/>
        <v>88.5</v>
      </c>
      <c r="F9" s="113" t="s">
        <v>145</v>
      </c>
    </row>
    <row r="10" spans="1:6" ht="15.6">
      <c r="A10" s="125" t="s">
        <v>144</v>
      </c>
      <c r="B10" s="126">
        <f>AVERAGE($B$6:$B$9)</f>
        <v>83.75</v>
      </c>
      <c r="C10" s="126">
        <f>AVERAGE($C$6:$C$9)</f>
        <v>89.5</v>
      </c>
      <c r="D10" s="126">
        <f>$B$10+$C$10</f>
        <v>173.25</v>
      </c>
      <c r="E10" s="126">
        <f>($B$10+$C$10)/2</f>
        <v>86.625</v>
      </c>
      <c r="F10" s="127" t="s">
        <v>147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Student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 kaitepalli</cp:lastModifiedBy>
  <dcterms:created xsi:type="dcterms:W3CDTF">2015-06-05T18:17:20Z</dcterms:created>
  <dcterms:modified xsi:type="dcterms:W3CDTF">2025-08-11T12:47:23Z</dcterms:modified>
</cp:coreProperties>
</file>